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roytomas\Desktop\GitHub\DES_sim\data\inputs\"/>
    </mc:Choice>
  </mc:AlternateContent>
  <xr:revisionPtr revIDLastSave="0" documentId="13_ncr:1_{BE05DF61-396B-414B-8F6A-3A81CB27487F}" xr6:coauthVersionLast="36" xr6:coauthVersionMax="47" xr10:uidLastSave="{00000000-0000-0000-0000-000000000000}"/>
  <bookViews>
    <workbookView xWindow="-120" yWindow="-120" windowWidth="29040" windowHeight="16440" xr2:uid="{C67EE741-80B9-4433-9EDB-7C308644A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H2" i="1"/>
  <c r="H5" i="1" l="1"/>
  <c r="H4" i="1"/>
  <c r="H3" i="1"/>
</calcChain>
</file>

<file path=xl/sharedStrings.xml><?xml version="1.0" encoding="utf-8"?>
<sst xmlns="http://schemas.openxmlformats.org/spreadsheetml/2006/main" count="12" uniqueCount="12">
  <si>
    <t>run</t>
  </si>
  <si>
    <t>profile 3</t>
  </si>
  <si>
    <t>Floor area</t>
  </si>
  <si>
    <t>kfw40</t>
  </si>
  <si>
    <t>kfw55</t>
  </si>
  <si>
    <t>Specific sh_demand (Kwh/m2/yr)</t>
  </si>
  <si>
    <t>specific dhw_demand(Kwh/m2/yr)</t>
  </si>
  <si>
    <t>profile 2</t>
  </si>
  <si>
    <t>Total</t>
  </si>
  <si>
    <t>FLH</t>
  </si>
  <si>
    <t>Appartments</t>
  </si>
  <si>
    <t>avg. appartment floor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</si>
</sst>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2591A-5259-4389-9FF2-2A7D9420FCD3}" name="Table1" displayName="Table1" ref="A1:H5" totalsRowShown="0">
  <autoFilter ref="A1:H5" xr:uid="{ABB2591A-5259-4389-9FF2-2A7D9420FCD3}"/>
  <tableColumns count="8">
    <tableColumn id="1" xr3:uid="{BE019415-3263-40F0-947A-6D49A9AFA647}" name="run"/>
    <tableColumn id="2" xr3:uid="{DD6EAD8A-292E-48C9-AEA3-97B700C00574}" name="Floor area"/>
    <tableColumn id="7" xr3:uid="{2C30DA51-FF2A-43D5-81AB-7D45DED579AE}" name="Appartments"/>
    <tableColumn id="8" xr3:uid="{03172173-A8B9-4DFD-96C5-6F79C4C0DA97}" name="avg. appartment floor area" dataDxfId="0">
      <calculatedColumnFormula>Table1[[#This Row],[Floor area]]/Table1[[#This Row],[Appartments]]</calculatedColumnFormula>
    </tableColumn>
    <tableColumn id="3" xr3:uid="{75E2A300-436A-4EE7-803B-146544C223FD}" name="Specific sh_demand (Kwh/m2/yr)"/>
    <tableColumn id="4" xr3:uid="{EED3D004-68EE-46E0-B532-F97A25AA9181}" name="specific dhw_demand(Kwh/m2/yr)"/>
    <tableColumn id="6" xr3:uid="{C4D54579-110A-4F3B-9C52-DF8D08AB512F}" name="FLH"/>
    <tableColumn id="5" xr3:uid="{2132AEF7-F278-49C3-8E7F-6D95136C28C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A1CC-562D-42F6-B1D8-2C489A3EA23C}">
  <dimension ref="A1:H5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15" bestFit="1" customWidth="1"/>
    <col min="2" max="3" width="12" customWidth="1"/>
    <col min="4" max="4" width="26" bestFit="1" customWidth="1"/>
    <col min="5" max="5" width="32.5703125" customWidth="1"/>
    <col min="6" max="6" width="33.85546875" customWidth="1"/>
    <col min="7" max="7" width="9.7109375" customWidth="1"/>
  </cols>
  <sheetData>
    <row r="1" spans="1:8" x14ac:dyDescent="0.25">
      <c r="A1" t="s">
        <v>0</v>
      </c>
      <c r="B1" t="s">
        <v>2</v>
      </c>
      <c r="C1" t="s">
        <v>10</v>
      </c>
      <c r="D1" t="s">
        <v>11</v>
      </c>
      <c r="E1" t="s">
        <v>5</v>
      </c>
      <c r="F1" t="s">
        <v>6</v>
      </c>
      <c r="G1" t="s">
        <v>9</v>
      </c>
      <c r="H1" t="s">
        <v>8</v>
      </c>
    </row>
    <row r="2" spans="1:8" x14ac:dyDescent="0.25">
      <c r="A2" t="s">
        <v>4</v>
      </c>
      <c r="B2">
        <v>10640</v>
      </c>
      <c r="C2">
        <v>152</v>
      </c>
      <c r="D2">
        <f>Table1[[#This Row],[Floor area]]/Table1[[#This Row],[Appartments]]</f>
        <v>70</v>
      </c>
      <c r="E2">
        <v>26</v>
      </c>
      <c r="F2">
        <v>21</v>
      </c>
      <c r="H2">
        <f>(Table1[[#This Row],[Specific sh_demand (Kwh/m2/yr)]]+Table1[[#This Row],[specific dhw_demand(Kwh/m2/yr)]])*Table1[[#This Row],[Floor area]]</f>
        <v>500080</v>
      </c>
    </row>
    <row r="3" spans="1:8" x14ac:dyDescent="0.25">
      <c r="A3" t="s">
        <v>3</v>
      </c>
      <c r="B3">
        <v>10640</v>
      </c>
      <c r="C3">
        <v>152</v>
      </c>
      <c r="D3">
        <f>Table1[[#This Row],[Floor area]]/Table1[[#This Row],[Appartments]]</f>
        <v>70</v>
      </c>
      <c r="E3">
        <v>19</v>
      </c>
      <c r="F3">
        <v>21</v>
      </c>
      <c r="H3">
        <f>(Table1[[#This Row],[Specific sh_demand (Kwh/m2/yr)]]+Table1[[#This Row],[specific dhw_demand(Kwh/m2/yr)]])*Table1[[#This Row],[Floor area]]</f>
        <v>425600</v>
      </c>
    </row>
    <row r="4" spans="1:8" x14ac:dyDescent="0.25">
      <c r="A4" t="s">
        <v>7</v>
      </c>
      <c r="B4">
        <v>10640</v>
      </c>
      <c r="C4">
        <v>152</v>
      </c>
      <c r="D4">
        <f>Table1[[#This Row],[Floor area]]/Table1[[#This Row],[Appartments]]</f>
        <v>70</v>
      </c>
      <c r="E4">
        <v>10</v>
      </c>
      <c r="F4">
        <v>11</v>
      </c>
      <c r="G4">
        <v>1300</v>
      </c>
      <c r="H4">
        <f>(Table1[[#This Row],[Specific sh_demand (Kwh/m2/yr)]]+Table1[[#This Row],[specific dhw_demand(Kwh/m2/yr)]])*Table1[[#This Row],[Floor area]]</f>
        <v>223440</v>
      </c>
    </row>
    <row r="5" spans="1:8" x14ac:dyDescent="0.25">
      <c r="A5" t="s">
        <v>1</v>
      </c>
      <c r="B5">
        <v>8360</v>
      </c>
      <c r="C5">
        <v>152</v>
      </c>
      <c r="D5">
        <f>Table1[[#This Row],[Floor area]]/Table1[[#This Row],[Appartments]]</f>
        <v>55</v>
      </c>
      <c r="E5">
        <v>10</v>
      </c>
      <c r="F5">
        <v>11</v>
      </c>
      <c r="H5">
        <f>(Table1[[#This Row],[Specific sh_demand (Kwh/m2/yr)]]+Table1[[#This Row],[specific dhw_demand(Kwh/m2/yr)]])*Table1[[#This Row],[Floor area]]</f>
        <v>175560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Rizal</dc:creator>
  <cp:lastModifiedBy>Leroy Tomás</cp:lastModifiedBy>
  <dcterms:created xsi:type="dcterms:W3CDTF">2025-03-03T15:20:13Z</dcterms:created>
  <dcterms:modified xsi:type="dcterms:W3CDTF">2025-03-19T10:54:19Z</dcterms:modified>
</cp:coreProperties>
</file>